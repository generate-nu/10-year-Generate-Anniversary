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---- SPREADSHEET DEPRECATED --" sheetId="1" r:id="rId5"/>
    <sheet state="visible" name="Shared Accounts" sheetId="2" r:id="rId6"/>
    <sheet state="visible" name="Please highlight" sheetId="3" r:id="rId7"/>
    <sheet state="visible" name="Outreach Logins" sheetId="4" r:id="rId8"/>
    <sheet state="visible" name="F19 Purchasing" sheetId="5" r:id="rId9"/>
    <sheet state="visible" name="Other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tc={4ff40515-aa59-48f7-8686-b58f9421e387}</author>
    <author>tc={57b49d79-65ac-464a-96ab-d5fcbe68e0d1}</author>
    <author>tc={6fe72eb6-f4ae-46e5-875d-d72b2ceb5d33}</author>
    <author>tc={8afafc42-679a-4806-86e1-326d3514c167}</author>
  </authors>
  <commentList>
    <comment authorId="0" xr:uid="{4ff40515-aa59-48f7-8686-b58f9421e3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Genemail135
</t>
      </text>
    </comment>
    <comment authorId="1" xr:uid="{57b49d79-65ac-464a-96ab-d5fcbe68e0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Gene3Scheduling!Rate
</t>
      </text>
    </comment>
    <comment authorId="2" xr:uid="{6fe72eb6-f4ae-46e5-875d-d72b2ceb5d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It's emily's Number now
</t>
      </text>
    </comment>
    <comment authorId="3" xr:uid="{8afafc42-679a-4806-86e1-326d3514c1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login is not working
</t>
      </text>
    </comment>
  </commentList>
</comments>
</file>

<file path=xl/sharedStrings.xml><?xml version="1.0" encoding="utf-8"?>
<sst xmlns="http://schemas.openxmlformats.org/spreadsheetml/2006/main" count="367" uniqueCount="181">
  <si>
    <t>THIS SPREADSHEET IS NO LONGER IN USE.</t>
  </si>
  <si>
    <t>Please contact @Jay Sella on Slack with any questions.</t>
  </si>
  <si>
    <t xml:space="preserve">Site </t>
  </si>
  <si>
    <t>Shared with</t>
  </si>
  <si>
    <t>Owned by</t>
  </si>
  <si>
    <t>Username</t>
  </si>
  <si>
    <t>Password</t>
  </si>
  <si>
    <t>Notes</t>
  </si>
  <si>
    <t>Formassembly</t>
  </si>
  <si>
    <t>IDEA</t>
  </si>
  <si>
    <t>ideanu</t>
  </si>
  <si>
    <t>IDEA2019neu</t>
  </si>
  <si>
    <t>Used for prototype fund</t>
  </si>
  <si>
    <t>Email</t>
  </si>
  <si>
    <t>Adafruit</t>
  </si>
  <si>
    <t xml:space="preserve">generate@northeastern.edu </t>
  </si>
  <si>
    <t>Genemail135</t>
  </si>
  <si>
    <t>NEU</t>
  </si>
  <si>
    <t>Airbnb</t>
  </si>
  <si>
    <t>Jenny.rait3@gmail.com</t>
  </si>
  <si>
    <t>pRwzp&amp;290U!E</t>
  </si>
  <si>
    <t>Separate email</t>
  </si>
  <si>
    <t>Amazon</t>
  </si>
  <si>
    <t>generate@northeastern.edu</t>
  </si>
  <si>
    <t>Genemail136</t>
  </si>
  <si>
    <t>NOT TO BE GIVEN OUT</t>
  </si>
  <si>
    <t>Apple ID</t>
  </si>
  <si>
    <t>nugenerate@gmail.com</t>
  </si>
  <si>
    <t>Generate2018</t>
  </si>
  <si>
    <t>Arduino</t>
  </si>
  <si>
    <t>Arrow</t>
  </si>
  <si>
    <t>banggood.com</t>
  </si>
  <si>
    <t>Basecamp</t>
  </si>
  <si>
    <t>generate@neu.edu</t>
  </si>
  <si>
    <t>genbasepw22</t>
  </si>
  <si>
    <t>Bit.ly</t>
  </si>
  <si>
    <t>Gmail</t>
  </si>
  <si>
    <t>Calendly</t>
  </si>
  <si>
    <t>Gene3Scheduling!Rate</t>
  </si>
  <si>
    <t>Custom Ink</t>
  </si>
  <si>
    <t>Digikey</t>
  </si>
  <si>
    <t>EasyEDA</t>
  </si>
  <si>
    <t>Ebay</t>
  </si>
  <si>
    <t>Edmund Optics</t>
  </si>
  <si>
    <t>Envato Market</t>
  </si>
  <si>
    <t xml:space="preserve">neu </t>
  </si>
  <si>
    <t>Wordpress Theme</t>
  </si>
  <si>
    <t>Eventbrite</t>
  </si>
  <si>
    <t>Formlabs</t>
  </si>
  <si>
    <t>Fusion360</t>
  </si>
  <si>
    <t>Shermanc3nter</t>
  </si>
  <si>
    <t>Gitbook</t>
  </si>
  <si>
    <t>generate</t>
  </si>
  <si>
    <t>GitHub (Deprecated)</t>
  </si>
  <si>
    <t>generateneu</t>
  </si>
  <si>
    <t>gmail</t>
  </si>
  <si>
    <t>ACCOUNT DOES NOT EXIST.</t>
  </si>
  <si>
    <t>GitHub</t>
  </si>
  <si>
    <t>generate-nu</t>
  </si>
  <si>
    <t>chq*nbv4jvp-nva*XPR</t>
  </si>
  <si>
    <t>Gene2020mail</t>
  </si>
  <si>
    <t>Should not be used. @northeastern.edu is preferred email address</t>
  </si>
  <si>
    <t>Figma (not correct)</t>
  </si>
  <si>
    <t>duodenum-aigrette-fantasy-dynamic-import-petal-CRUISE</t>
  </si>
  <si>
    <t xml:space="preserve">Harbo Freight </t>
  </si>
  <si>
    <t>Genemail135!</t>
  </si>
  <si>
    <t>HubSpot CRM</t>
  </si>
  <si>
    <t>IFTT</t>
  </si>
  <si>
    <t>Genemail315</t>
  </si>
  <si>
    <t xml:space="preserve">Imprint </t>
  </si>
  <si>
    <t>Insomnia Cookies</t>
  </si>
  <si>
    <t>Instagram</t>
  </si>
  <si>
    <t>generateNU</t>
  </si>
  <si>
    <t>#Cloutreach</t>
  </si>
  <si>
    <t>TFA phone # is Emily McMichael's 2019706140 Recovery codes: 7924 1580, 8710 9325, 5231 7690, 4296 8517, 6421 5309</t>
  </si>
  <si>
    <t xml:space="preserve">JLC PCB </t>
  </si>
  <si>
    <t>iPad</t>
  </si>
  <si>
    <t>Macincloud</t>
  </si>
  <si>
    <t>Mailchimp</t>
  </si>
  <si>
    <t>nugenerate</t>
  </si>
  <si>
    <t>Generate2020!</t>
  </si>
  <si>
    <t>Security Questions - Number of floors we occupy: One
How many employees we had in 2011: Zero
What Type of coffee maker do we use: Rice Cooker</t>
  </si>
  <si>
    <t>neu</t>
  </si>
  <si>
    <t>McMaster Carr</t>
  </si>
  <si>
    <t>NUGenerate16</t>
  </si>
  <si>
    <t>https://medium.com/</t>
  </si>
  <si>
    <t>generate.outreach@gmail.com</t>
  </si>
  <si>
    <t xml:space="preserve">Misiumi </t>
  </si>
  <si>
    <t>Moo</t>
  </si>
  <si>
    <t>2015Beginning!</t>
  </si>
  <si>
    <t>MOO</t>
  </si>
  <si>
    <t>Generate2017</t>
  </si>
  <si>
    <t>Mouser</t>
  </si>
  <si>
    <t>Johnson_497f6d</t>
  </si>
  <si>
    <t>MyNEU</t>
  </si>
  <si>
    <t>generate-mgmt</t>
  </si>
  <si>
    <t>Used for room bookings, account administrative things, etc.</t>
  </si>
  <si>
    <t>Open Water</t>
  </si>
  <si>
    <t>Oshpark</t>
  </si>
  <si>
    <t>Pipedrive</t>
  </si>
  <si>
    <t>Pololu</t>
  </si>
  <si>
    <t>Prolabs</t>
  </si>
  <si>
    <t>Protolabs</t>
  </si>
  <si>
    <t>Prusa</t>
  </si>
  <si>
    <t>ripstopbytheroll</t>
  </si>
  <si>
    <t>Smooth-On Store</t>
  </si>
  <si>
    <t xml:space="preserve">Shark Ninja </t>
  </si>
  <si>
    <t>ServoCity</t>
  </si>
  <si>
    <t>Seagate</t>
  </si>
  <si>
    <t>Skedda</t>
  </si>
  <si>
    <t>SlimWiki</t>
  </si>
  <si>
    <t>Generatenu2019</t>
  </si>
  <si>
    <t>Sparkfun</t>
  </si>
  <si>
    <t>Sticker Mule</t>
  </si>
  <si>
    <t>Sunstone</t>
  </si>
  <si>
    <t>Trello</t>
  </si>
  <si>
    <t>Twitter</t>
  </si>
  <si>
    <t>GenerateNU</t>
  </si>
  <si>
    <t>#Cloutreach2020</t>
  </si>
  <si>
    <t>Typeform</t>
  </si>
  <si>
    <t xml:space="preserve">US Plastic </t>
  </si>
  <si>
    <t>Upverter</t>
  </si>
  <si>
    <t>generatenu</t>
  </si>
  <si>
    <t>spring2019</t>
  </si>
  <si>
    <t>VistaPrint</t>
  </si>
  <si>
    <t>WaveShare</t>
  </si>
  <si>
    <t>Wordpress</t>
  </si>
  <si>
    <t>Zapier</t>
  </si>
  <si>
    <t>Outlook</t>
  </si>
  <si>
    <t>See Notes</t>
  </si>
  <si>
    <r>
      <rPr>
        <rFont val="Arial"/>
      </rPr>
      <t xml:space="preserve">1. Go To </t>
    </r>
    <r>
      <rPr>
        <rFont val="Arial"/>
        <color rgb="FF1155CC"/>
        <u/>
      </rPr>
      <t xml:space="preserve">http://outlook.office365.com/owa/
</t>
    </r>
    <r>
      <rPr>
        <rFont val="Arial"/>
      </rPr>
      <t>2. Login using generate-mgmt@northeastern.edu and the password Genemail135
3. Go to the top right of the page and click on the empty image
4. Click "Open another mailbox" and type in "generate@northeastern.edu"</t>
    </r>
  </si>
  <si>
    <t>4imprint</t>
  </si>
  <si>
    <t>https://www.sign11.com/</t>
  </si>
  <si>
    <t>Cloutreach2020</t>
  </si>
  <si>
    <t>Cutt.ly</t>
  </si>
  <si>
    <t>Outreach2020!</t>
  </si>
  <si>
    <t>Rescue Phone # is 407-876-3033 (elizabeth cavallo's)
Rescue Email is nugenerate@gmail.com</t>
  </si>
  <si>
    <t>Hootsuite</t>
  </si>
  <si>
    <t>Cloutreach1111</t>
  </si>
  <si>
    <t>Figma</t>
  </si>
  <si>
    <t>Cloutreach1112</t>
  </si>
  <si>
    <t>YouTube</t>
  </si>
  <si>
    <t>Mail Chimp</t>
  </si>
  <si>
    <t>Fall 2019 Purchasing Log Ins</t>
  </si>
  <si>
    <t>New Suppliers</t>
  </si>
  <si>
    <t>PW</t>
  </si>
  <si>
    <t>4PCB/Advanced Circuits</t>
  </si>
  <si>
    <t>Servocity</t>
  </si>
  <si>
    <t>Site Name</t>
  </si>
  <si>
    <t>Generate Notion</t>
  </si>
  <si>
    <t>Generate Website</t>
  </si>
  <si>
    <t>generatewebsite@gmail.com</t>
  </si>
  <si>
    <t>Used for Heroku emails, etc.</t>
  </si>
  <si>
    <t>Heroku</t>
  </si>
  <si>
    <t>G3n3rat3W3bT3am!</t>
  </si>
  <si>
    <t>Heroku is on the free platform as of now, but the Generate card will be held on file</t>
  </si>
  <si>
    <t>Userberry</t>
  </si>
  <si>
    <t>Emily Fescko asked for just 1 month - Next billing on November 18 (cancel before)</t>
  </si>
  <si>
    <t>Outreach Logins</t>
  </si>
  <si>
    <t>generate@northeastern.edu OR forge_adafruit</t>
  </si>
  <si>
    <t>Forge2021</t>
  </si>
  <si>
    <t>Unity ID</t>
  </si>
  <si>
    <t>Hostinger</t>
  </si>
  <si>
    <t>@x3LU7n2BhsfVNQEe.8.t4WidovtmL</t>
  </si>
  <si>
    <t xml:space="preserve">Titan </t>
  </si>
  <si>
    <t>operations@generatenu.com</t>
  </si>
  <si>
    <t>*L^J]9{GWAfhN7]</t>
  </si>
  <si>
    <t>AndyMark</t>
  </si>
  <si>
    <t>Vex</t>
  </si>
  <si>
    <t>Misumi</t>
  </si>
  <si>
    <t>Heroku (yes, another one?)</t>
  </si>
  <si>
    <t>bhat.am@northeastern.edu</t>
  </si>
  <si>
    <t>Generate@123</t>
  </si>
  <si>
    <t>Titan/Hostinger Email (for Asana billing)</t>
  </si>
  <si>
    <t>billing@generatenu.com</t>
  </si>
  <si>
    <t>Paypal</t>
  </si>
  <si>
    <t>Genemail642!</t>
  </si>
  <si>
    <t>Asana</t>
  </si>
  <si>
    <t>Genemail123!</t>
  </si>
  <si>
    <r>
      <rPr>
        <rFont val="Arial"/>
        <strike/>
        <color rgb="FF1155CC"/>
      </rPr>
      <t>fly.io</t>
    </r>
    <r>
      <rPr>
        <rFont val="Arial"/>
        <strike/>
      </rPr>
      <t xml:space="preserve"> (billed monthly)</t>
    </r>
  </si>
  <si>
    <t>Slido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</si>
</sst>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rgb="FFFFFFFF"/>
      <name val="Arial"/>
      <scheme val="minor"/>
    </font>
    <font>
      <b/>
      <sz val="28.0"/>
      <color rgb="FFFFFFFF"/>
      <name val="Arial"/>
      <scheme val="minor"/>
    </font>
    <font>
      <sz val="12.0"/>
      <color rgb="FFFFFFFF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u/>
      <color theme="1"/>
      <name val="Arial"/>
    </font>
    <font>
      <u/>
      <color rgb="FF000000"/>
      <name val="Arial"/>
    </font>
    <font>
      <color rgb="FF2C2D30"/>
      <name val="Arial"/>
    </font>
    <font>
      <b/>
      <color rgb="FFFF0000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trike/>
      <color theme="1"/>
      <name val="Arial"/>
    </font>
    <font>
      <u/>
      <color rgb="FF1155CC"/>
      <name val="Arial"/>
    </font>
    <font>
      <strike/>
      <sz val="11.0"/>
      <color rgb="FF1D1C1D"/>
      <name val="Slack-Lato"/>
    </font>
    <font>
      <strike/>
      <color rgb="FF000000"/>
      <name val="Arial"/>
    </font>
    <font>
      <strike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</fills>
  <borders count="15">
    <border/>
    <border>
      <left style="medium">
        <color rgb="FF990000"/>
      </left>
      <top style="medium">
        <color rgb="FF990000"/>
      </top>
    </border>
    <border>
      <top style="medium">
        <color rgb="FF990000"/>
      </top>
    </border>
    <border>
      <right style="medium">
        <color rgb="FF990000"/>
      </right>
      <top style="medium">
        <color rgb="FF990000"/>
      </top>
    </border>
    <border>
      <left style="medium">
        <color rgb="FF990000"/>
      </left>
    </border>
    <border>
      <right style="medium">
        <color rgb="FF990000"/>
      </right>
    </border>
    <border>
      <left style="medium">
        <color rgb="FF990000"/>
      </left>
      <bottom style="medium">
        <color rgb="FF990000"/>
      </bottom>
    </border>
    <border>
      <bottom style="medium">
        <color rgb="FF990000"/>
      </bottom>
    </border>
    <border>
      <right style="medium">
        <color rgb="FF990000"/>
      </right>
      <bottom style="medium">
        <color rgb="FF99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right/>
    </border>
    <border>
      <right style="thin">
        <color rgb="FF000000"/>
      </right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0" fillId="2" fontId="2" numFmtId="0" xfId="0" applyAlignment="1" applyFont="1">
      <alignment readingOrder="0"/>
    </xf>
    <xf borderId="5" fillId="2" fontId="1" numFmtId="0" xfId="0" applyBorder="1" applyFont="1"/>
    <xf borderId="0" fillId="2" fontId="3" numFmtId="0" xfId="0" applyAlignment="1" applyFont="1">
      <alignment readingOrder="0"/>
    </xf>
    <xf borderId="6" fillId="2" fontId="1" numFmtId="0" xfId="0" applyBorder="1" applyFont="1"/>
    <xf borderId="7" fillId="2" fontId="1" numFmtId="0" xfId="0" applyBorder="1" applyFont="1"/>
    <xf borderId="8" fillId="2" fontId="1" numFmtId="0" xfId="0" applyBorder="1" applyFont="1"/>
    <xf borderId="9" fillId="0" fontId="4" numFmtId="0" xfId="0" applyAlignment="1" applyBorder="1" applyFont="1">
      <alignment vertical="bottom"/>
    </xf>
    <xf borderId="9" fillId="0" fontId="4" numFmtId="0" xfId="0" applyAlignment="1" applyBorder="1" applyFont="1">
      <alignment readingOrder="0" vertical="bottom"/>
    </xf>
    <xf borderId="9" fillId="0" fontId="5" numFmtId="0" xfId="0" applyAlignment="1" applyBorder="1" applyFont="1">
      <alignment vertical="bottom"/>
    </xf>
    <xf borderId="9" fillId="0" fontId="6" numFmtId="0" xfId="0" applyAlignment="1" applyBorder="1" applyFont="1">
      <alignment readingOrder="0"/>
    </xf>
    <xf borderId="10" fillId="0" fontId="4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11" fillId="0" fontId="9" numFmtId="0" xfId="0" applyAlignment="1" applyBorder="1" applyFont="1">
      <alignment readingOrder="0" shrinkToFit="0" vertical="bottom" wrapText="0"/>
    </xf>
    <xf borderId="9" fillId="0" fontId="7" numFmtId="0" xfId="0" applyAlignment="1" applyBorder="1" applyFont="1">
      <alignment vertical="bottom"/>
    </xf>
    <xf borderId="0" fillId="3" fontId="10" numFmtId="0" xfId="0" applyAlignment="1" applyFont="1">
      <alignment vertical="bottom"/>
    </xf>
    <xf borderId="9" fillId="0" fontId="7" numFmtId="0" xfId="0" applyAlignment="1" applyBorder="1" applyFont="1">
      <alignment readingOrder="0" vertical="bottom"/>
    </xf>
    <xf borderId="0" fillId="4" fontId="7" numFmtId="0" xfId="0" applyAlignment="1" applyFill="1" applyFont="1">
      <alignment vertical="bottom"/>
    </xf>
    <xf borderId="0" fillId="0" fontId="11" numFmtId="0" xfId="0" applyAlignment="1" applyFont="1">
      <alignment vertical="bottom"/>
    </xf>
    <xf borderId="0" fillId="5" fontId="11" numFmtId="0" xfId="0" applyAlignment="1" applyFill="1" applyFont="1">
      <alignment vertical="bottom"/>
    </xf>
    <xf borderId="0" fillId="3" fontId="7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3" fontId="7" numFmtId="0" xfId="0" applyAlignment="1" applyFont="1">
      <alignment vertical="bottom"/>
    </xf>
    <xf borderId="0" fillId="3" fontId="8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3" fontId="6" numFmtId="0" xfId="0" applyAlignment="1" applyFont="1">
      <alignment readingOrder="0"/>
    </xf>
    <xf borderId="12" fillId="0" fontId="8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13" fillId="0" fontId="8" numFmtId="0" xfId="0" applyAlignment="1" applyBorder="1" applyFont="1">
      <alignment vertical="bottom"/>
    </xf>
    <xf borderId="14" fillId="3" fontId="7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4" fontId="8" numFmtId="0" xfId="0" applyAlignment="1" applyFont="1">
      <alignment horizontal="left" readingOrder="0"/>
    </xf>
    <xf borderId="0" fillId="4" fontId="7" numFmtId="0" xfId="0" applyAlignment="1" applyFont="1">
      <alignment readingOrder="0" vertical="bottom"/>
    </xf>
    <xf borderId="0" fillId="4" fontId="17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14" fillId="0" fontId="8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6" fontId="20" numFmtId="0" xfId="0" applyAlignment="1" applyFill="1" applyFont="1">
      <alignment horizontal="left" readingOrder="0"/>
    </xf>
    <xf borderId="14" fillId="0" fontId="21" numFmtId="0" xfId="0" applyAlignment="1" applyBorder="1" applyFont="1">
      <alignment readingOrder="0" vertical="bottom"/>
    </xf>
    <xf borderId="0" fillId="0" fontId="2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ice Cavallo" id="{0b7b0474-5d00-4fd8-8f2d-3dc8019f2c81}" providerId="google-sheets"/>
  <x18tc:person displayName="Generate NU" id="{f5595667-3571-4052-a961-6dfea68db418}" providerId="google-sheets"/>
  <x18tc:person displayName="Deleted user" id="{3c1923bd-57af-4637-b5e3-8bb65b8608d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1-11-30T00:28:02.00" personId="{3c1923bd-57af-4637-b5e3-8bb65b8608d3}" id="{4ff40515-aa59-48f7-8686-b58f9421e387}" done="1">
    <x18tc:text xml:space="preserve">Genemail135</x18tc:text>
  </x18tc:threadedComment>
  <x18tc:threadedComment ref="A1" dT="2019-11-22T21:36:36.00" personId="{f5595667-3571-4052-a961-6dfea68db418}" id="{8afafc42-679a-4806-86e1-326d3514c167}" done="1">
    <x18tc:text xml:space="preserve">login is not working</x18tc:text>
  </x18tc:threadedComment>
  <x18tc:threadedComment ref="A1" dT="2021-07-20T02:05:10.00" personId="{3c1923bd-57af-4637-b5e3-8bb65b8608d3}" id="{57b49d79-65ac-464a-96ab-d5fcbe68e0d1}" done="1">
    <x18tc:text xml:space="preserve">Gene3Scheduling!Rate</x18tc:text>
  </x18tc:threadedComment>
  <x18tc:threadedComment ref="A1" dT="2020-05-29T15:59:11.00" personId="{0b7b0474-5d00-4fd8-8f2d-3dc8019f2c81}" id="{6fe72eb6-f4ae-46e5-875d-d72b2ceb5d33}" done="1">
    <x18tc:text xml:space="preserve">It's emily's Number now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it.ly" TargetMode="External"/><Relationship Id="rId2" Type="http://schemas.openxmlformats.org/officeDocument/2006/relationships/hyperlink" Target="https://medium.com/" TargetMode="External"/><Relationship Id="rId3" Type="http://schemas.openxmlformats.org/officeDocument/2006/relationships/hyperlink" Target="https://drinkopenwater.com/" TargetMode="External"/><Relationship Id="rId4" Type="http://schemas.openxmlformats.org/officeDocument/2006/relationships/hyperlink" Target="http://outlook.office365.com/owa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gn11.com/" TargetMode="External"/><Relationship Id="rId2" Type="http://schemas.openxmlformats.org/officeDocument/2006/relationships/hyperlink" Target="http://cutt.ly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5m9-TTithh7QS6hsJbyPe0xVDEIQCYOCnVwKFcCrP4/edit?usp=sharing" TargetMode="External"/><Relationship Id="rId2" Type="http://schemas.openxmlformats.org/officeDocument/2006/relationships/hyperlink" Target="http://fly.io/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11" max="11" width="3.13"/>
  </cols>
  <sheetData>
    <row r="2">
      <c r="B2" s="1"/>
      <c r="C2" s="2"/>
      <c r="D2" s="2"/>
      <c r="E2" s="2"/>
      <c r="F2" s="2"/>
      <c r="G2" s="2"/>
      <c r="H2" s="2"/>
      <c r="I2" s="2"/>
      <c r="J2" s="2"/>
      <c r="K2" s="3"/>
    </row>
    <row r="3">
      <c r="B3" s="4"/>
      <c r="C3" s="5" t="s">
        <v>0</v>
      </c>
      <c r="K3" s="6"/>
    </row>
    <row r="4">
      <c r="B4" s="4"/>
      <c r="C4" s="7" t="s">
        <v>1</v>
      </c>
      <c r="K4" s="6"/>
    </row>
    <row r="5">
      <c r="B5" s="8"/>
      <c r="C5" s="9"/>
      <c r="D5" s="9"/>
      <c r="E5" s="9"/>
      <c r="F5" s="9"/>
      <c r="G5" s="9"/>
      <c r="H5" s="9"/>
      <c r="I5" s="9"/>
      <c r="J5" s="9"/>
      <c r="K5" s="10"/>
    </row>
  </sheetData>
  <mergeCells count="2">
    <mergeCell ref="C3:J3"/>
    <mergeCell ref="C4:J4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0"/>
  </cols>
  <sheetData>
    <row r="1">
      <c r="B1" s="11" t="s">
        <v>2</v>
      </c>
      <c r="C1" s="12" t="s">
        <v>3</v>
      </c>
      <c r="D1" s="12" t="s">
        <v>4</v>
      </c>
      <c r="E1" s="11" t="s">
        <v>5</v>
      </c>
      <c r="F1" s="13" t="s">
        <v>6</v>
      </c>
      <c r="G1" s="13" t="s">
        <v>7</v>
      </c>
    </row>
    <row r="2">
      <c r="B2" s="14" t="s">
        <v>8</v>
      </c>
      <c r="C2" s="14" t="s">
        <v>9</v>
      </c>
      <c r="D2" s="14" t="s">
        <v>9</v>
      </c>
      <c r="E2" s="14" t="s">
        <v>10</v>
      </c>
      <c r="F2" s="14" t="s">
        <v>11</v>
      </c>
      <c r="G2" s="14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26.88"/>
    <col customWidth="1" min="3" max="3" width="30.5"/>
    <col customWidth="1" min="4" max="4" width="36.0"/>
    <col customWidth="1" min="5" max="5" width="100.88"/>
  </cols>
  <sheetData>
    <row r="1">
      <c r="A1" s="15" t="s">
        <v>2</v>
      </c>
      <c r="B1" s="15" t="s">
        <v>5</v>
      </c>
      <c r="C1" s="16" t="s">
        <v>6</v>
      </c>
      <c r="D1" s="16" t="s">
        <v>13</v>
      </c>
      <c r="E1" s="16" t="s">
        <v>7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18" t="s">
        <v>14</v>
      </c>
      <c r="B2" s="19" t="s">
        <v>15</v>
      </c>
      <c r="C2" s="19" t="s">
        <v>16</v>
      </c>
      <c r="D2" s="17" t="s">
        <v>17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20" t="s">
        <v>18</v>
      </c>
      <c r="B3" s="17" t="s">
        <v>19</v>
      </c>
      <c r="C3" s="20" t="s">
        <v>20</v>
      </c>
      <c r="D3" s="21" t="s">
        <v>21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8" t="s">
        <v>22</v>
      </c>
      <c r="B4" s="19" t="s">
        <v>23</v>
      </c>
      <c r="C4" s="20" t="s">
        <v>24</v>
      </c>
      <c r="D4" s="17" t="s">
        <v>17</v>
      </c>
      <c r="E4" s="17" t="s">
        <v>25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9" t="s">
        <v>26</v>
      </c>
      <c r="B5" s="19" t="s">
        <v>27</v>
      </c>
      <c r="C5" s="19" t="s">
        <v>28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8" t="s">
        <v>29</v>
      </c>
      <c r="B6" s="19" t="s">
        <v>15</v>
      </c>
      <c r="C6" s="22" t="s">
        <v>16</v>
      </c>
      <c r="D6" s="17" t="s">
        <v>17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9" t="s">
        <v>30</v>
      </c>
      <c r="B7" s="19" t="s">
        <v>23</v>
      </c>
      <c r="C7" s="22" t="s">
        <v>16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9" t="s">
        <v>31</v>
      </c>
      <c r="B8" s="19" t="s">
        <v>23</v>
      </c>
      <c r="C8" s="22" t="s">
        <v>24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9" t="s">
        <v>32</v>
      </c>
      <c r="B9" s="19" t="s">
        <v>33</v>
      </c>
      <c r="C9" s="22" t="s">
        <v>34</v>
      </c>
      <c r="D9" s="17" t="s">
        <v>17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23" t="s">
        <v>35</v>
      </c>
      <c r="B10" s="19" t="s">
        <v>27</v>
      </c>
      <c r="C10" s="22" t="s">
        <v>16</v>
      </c>
      <c r="D10" s="17" t="s">
        <v>36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8" t="s">
        <v>37</v>
      </c>
      <c r="B11" s="19" t="s">
        <v>23</v>
      </c>
      <c r="C11" s="24" t="s">
        <v>38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8" t="s">
        <v>39</v>
      </c>
      <c r="B12" s="19" t="s">
        <v>23</v>
      </c>
      <c r="C12" s="22" t="s">
        <v>16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8" t="s">
        <v>40</v>
      </c>
      <c r="B13" s="19" t="s">
        <v>15</v>
      </c>
      <c r="C13" s="20" t="s">
        <v>16</v>
      </c>
      <c r="D13" s="17" t="s">
        <v>17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25" t="s">
        <v>41</v>
      </c>
      <c r="B14" s="19" t="s">
        <v>23</v>
      </c>
      <c r="C14" s="20" t="s">
        <v>16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9" t="s">
        <v>42</v>
      </c>
      <c r="B15" s="19" t="s">
        <v>23</v>
      </c>
      <c r="C15" s="19" t="s">
        <v>16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9" t="s">
        <v>43</v>
      </c>
      <c r="B16" s="19" t="s">
        <v>23</v>
      </c>
      <c r="C16" s="19" t="s">
        <v>16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26" t="s">
        <v>44</v>
      </c>
      <c r="B17" s="17" t="s">
        <v>33</v>
      </c>
      <c r="C17" s="27" t="s">
        <v>16</v>
      </c>
      <c r="D17" s="17" t="s">
        <v>45</v>
      </c>
      <c r="E17" s="17" t="s">
        <v>46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8" t="s">
        <v>47</v>
      </c>
      <c r="B18" s="19" t="s">
        <v>23</v>
      </c>
      <c r="C18" s="19" t="s">
        <v>16</v>
      </c>
      <c r="D18" s="17" t="s">
        <v>17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9" t="s">
        <v>48</v>
      </c>
      <c r="B19" s="19" t="s">
        <v>23</v>
      </c>
      <c r="C19" s="19" t="s">
        <v>16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8" t="s">
        <v>49</v>
      </c>
      <c r="B20" s="19" t="s">
        <v>23</v>
      </c>
      <c r="C20" s="19" t="s">
        <v>50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9" t="s">
        <v>51</v>
      </c>
      <c r="B21" s="19" t="s">
        <v>52</v>
      </c>
      <c r="C21" s="19" t="s">
        <v>16</v>
      </c>
      <c r="D21" s="17" t="s">
        <v>17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28" t="s">
        <v>53</v>
      </c>
      <c r="B22" s="17" t="s">
        <v>54</v>
      </c>
      <c r="C22" s="17" t="s">
        <v>16</v>
      </c>
      <c r="D22" s="17" t="s">
        <v>55</v>
      </c>
      <c r="E22" s="29" t="s">
        <v>56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28" t="s">
        <v>57</v>
      </c>
      <c r="B23" s="30" t="s">
        <v>58</v>
      </c>
      <c r="C23" s="30" t="s">
        <v>59</v>
      </c>
      <c r="D23" s="30" t="s">
        <v>17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31" t="s">
        <v>36</v>
      </c>
      <c r="B24" s="17" t="s">
        <v>27</v>
      </c>
      <c r="C24" s="30" t="s">
        <v>60</v>
      </c>
      <c r="D24" s="17" t="s">
        <v>55</v>
      </c>
      <c r="E24" s="30" t="s">
        <v>61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28" t="s">
        <v>62</v>
      </c>
      <c r="B25" s="19" t="s">
        <v>23</v>
      </c>
      <c r="C25" s="30" t="s">
        <v>63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32" t="s">
        <v>64</v>
      </c>
      <c r="B26" s="19" t="s">
        <v>23</v>
      </c>
      <c r="C26" s="30" t="s">
        <v>65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9" t="s">
        <v>66</v>
      </c>
      <c r="B27" s="19" t="s">
        <v>23</v>
      </c>
      <c r="C27" s="17" t="s">
        <v>16</v>
      </c>
      <c r="D27" s="17" t="s">
        <v>17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18" t="s">
        <v>67</v>
      </c>
      <c r="B28" s="19" t="s">
        <v>23</v>
      </c>
      <c r="C28" s="19" t="s">
        <v>68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32" t="s">
        <v>69</v>
      </c>
      <c r="B29" s="19" t="s">
        <v>23</v>
      </c>
      <c r="C29" s="19" t="s">
        <v>68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18" t="s">
        <v>70</v>
      </c>
      <c r="B30" s="19" t="s">
        <v>23</v>
      </c>
      <c r="C30" s="19" t="s">
        <v>16</v>
      </c>
      <c r="D30" s="17" t="s">
        <v>17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31" t="s">
        <v>71</v>
      </c>
      <c r="B31" s="26" t="s">
        <v>72</v>
      </c>
      <c r="C31" s="30" t="s">
        <v>73</v>
      </c>
      <c r="D31" s="17" t="s">
        <v>55</v>
      </c>
      <c r="E31" s="30" t="s">
        <v>74</v>
      </c>
      <c r="F31" s="17"/>
      <c r="G31" s="30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32" t="s">
        <v>75</v>
      </c>
      <c r="B32" s="19" t="s">
        <v>23</v>
      </c>
      <c r="C32" s="19" t="s">
        <v>16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19" t="s">
        <v>76</v>
      </c>
      <c r="B33" s="19">
        <v>436372.0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19" t="s">
        <v>77</v>
      </c>
      <c r="B34" s="19" t="s">
        <v>23</v>
      </c>
      <c r="C34" s="19" t="s">
        <v>65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28" t="s">
        <v>78</v>
      </c>
      <c r="B35" s="17" t="s">
        <v>79</v>
      </c>
      <c r="C35" s="30" t="s">
        <v>80</v>
      </c>
      <c r="D35" s="17" t="s">
        <v>55</v>
      </c>
      <c r="E35" s="30" t="s">
        <v>81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33" t="str">
        <f>HYPERLINK("http://makerbot.com","makerbot.com")</f>
        <v>makerbot.com</v>
      </c>
      <c r="B36" s="17" t="s">
        <v>52</v>
      </c>
      <c r="C36" s="27" t="s">
        <v>16</v>
      </c>
      <c r="D36" s="17" t="s">
        <v>82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18" t="s">
        <v>83</v>
      </c>
      <c r="B37" s="19" t="s">
        <v>15</v>
      </c>
      <c r="C37" s="19" t="s">
        <v>84</v>
      </c>
      <c r="D37" s="17" t="s">
        <v>17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34" t="s">
        <v>85</v>
      </c>
      <c r="B38" s="20" t="s">
        <v>86</v>
      </c>
      <c r="C38" s="19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35" t="s">
        <v>87</v>
      </c>
      <c r="B39" s="19" t="s">
        <v>15</v>
      </c>
      <c r="C39" s="19" t="s">
        <v>16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9" t="s">
        <v>88</v>
      </c>
      <c r="B40" s="19" t="s">
        <v>27</v>
      </c>
      <c r="C40" s="36" t="s">
        <v>89</v>
      </c>
      <c r="D40" s="17" t="s">
        <v>36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9" t="s">
        <v>90</v>
      </c>
      <c r="B41" s="19" t="s">
        <v>15</v>
      </c>
      <c r="C41" s="19" t="s">
        <v>91</v>
      </c>
      <c r="D41" s="17" t="s">
        <v>17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8" t="s">
        <v>92</v>
      </c>
      <c r="B42" s="19" t="s">
        <v>93</v>
      </c>
      <c r="C42" s="19" t="s">
        <v>16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31" t="s">
        <v>94</v>
      </c>
      <c r="B43" s="17" t="s">
        <v>95</v>
      </c>
      <c r="C43" s="17" t="s">
        <v>16</v>
      </c>
      <c r="D43" s="17" t="s">
        <v>82</v>
      </c>
      <c r="E43" s="17" t="s">
        <v>96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37" t="s">
        <v>97</v>
      </c>
      <c r="B44" s="20" t="s">
        <v>23</v>
      </c>
      <c r="C44" s="20"/>
      <c r="D44" s="30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20" t="s">
        <v>98</v>
      </c>
      <c r="B45" s="20" t="s">
        <v>23</v>
      </c>
      <c r="C45" s="20" t="s">
        <v>16</v>
      </c>
      <c r="D45" s="30" t="s">
        <v>17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9" t="s">
        <v>99</v>
      </c>
      <c r="B46" s="19" t="s">
        <v>15</v>
      </c>
      <c r="C46" s="19" t="s">
        <v>16</v>
      </c>
      <c r="D46" s="17" t="s">
        <v>17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32" t="s">
        <v>100</v>
      </c>
      <c r="B47" s="19" t="s">
        <v>15</v>
      </c>
      <c r="C47" s="20" t="s">
        <v>65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19" t="s">
        <v>101</v>
      </c>
      <c r="B48" s="19" t="s">
        <v>15</v>
      </c>
      <c r="C48" s="19" t="s">
        <v>16</v>
      </c>
      <c r="D48" s="17" t="s">
        <v>17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19" t="s">
        <v>102</v>
      </c>
      <c r="B49" s="19" t="s">
        <v>23</v>
      </c>
      <c r="C49" s="19" t="s">
        <v>16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19" t="s">
        <v>103</v>
      </c>
      <c r="B50" s="19" t="s">
        <v>23</v>
      </c>
      <c r="C50" s="19" t="s">
        <v>16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20" t="s">
        <v>104</v>
      </c>
      <c r="B51" s="19" t="s">
        <v>23</v>
      </c>
      <c r="C51" s="19" t="s">
        <v>24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20" t="s">
        <v>105</v>
      </c>
      <c r="B52" s="19" t="s">
        <v>23</v>
      </c>
      <c r="C52" s="19" t="s">
        <v>16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20" t="s">
        <v>106</v>
      </c>
      <c r="B53" s="19" t="s">
        <v>23</v>
      </c>
      <c r="C53" s="19" t="s">
        <v>16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20" t="s">
        <v>107</v>
      </c>
      <c r="B54" s="19" t="s">
        <v>23</v>
      </c>
      <c r="C54" s="20" t="s">
        <v>65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9" t="s">
        <v>108</v>
      </c>
      <c r="B55" s="19" t="s">
        <v>15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31" t="s">
        <v>109</v>
      </c>
      <c r="B56" s="17" t="s">
        <v>27</v>
      </c>
      <c r="C56" s="17" t="s">
        <v>16</v>
      </c>
      <c r="D56" s="17" t="s">
        <v>55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20" t="s">
        <v>110</v>
      </c>
      <c r="B57" s="20" t="s">
        <v>23</v>
      </c>
      <c r="C57" s="20" t="s">
        <v>111</v>
      </c>
      <c r="D57" s="30" t="s">
        <v>17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38" t="s">
        <v>112</v>
      </c>
      <c r="B58" s="19" t="s">
        <v>23</v>
      </c>
      <c r="C58" s="19" t="s">
        <v>16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39" t="s">
        <v>113</v>
      </c>
      <c r="B59" s="17" t="s">
        <v>33</v>
      </c>
      <c r="C59" s="17" t="s">
        <v>16</v>
      </c>
      <c r="D59" s="17" t="s">
        <v>17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19" t="s">
        <v>114</v>
      </c>
      <c r="B60" s="19" t="s">
        <v>23</v>
      </c>
      <c r="C60" s="19" t="s">
        <v>16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8" t="s">
        <v>115</v>
      </c>
      <c r="B61" s="19" t="s">
        <v>15</v>
      </c>
      <c r="C61" s="19" t="s">
        <v>16</v>
      </c>
      <c r="D61" s="17" t="s">
        <v>17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31" t="s">
        <v>116</v>
      </c>
      <c r="B62" s="26" t="s">
        <v>117</v>
      </c>
      <c r="C62" s="30" t="s">
        <v>118</v>
      </c>
      <c r="D62" s="17" t="s">
        <v>36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31" t="s">
        <v>119</v>
      </c>
      <c r="B63" s="30" t="s">
        <v>23</v>
      </c>
      <c r="C63" s="17" t="s">
        <v>16</v>
      </c>
      <c r="D63" s="17" t="s">
        <v>82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32" t="s">
        <v>120</v>
      </c>
      <c r="B64" s="30" t="s">
        <v>23</v>
      </c>
      <c r="C64" s="17" t="s">
        <v>16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8" t="s">
        <v>121</v>
      </c>
      <c r="B65" s="19" t="s">
        <v>122</v>
      </c>
      <c r="C65" s="19" t="s">
        <v>123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31" t="s">
        <v>124</v>
      </c>
      <c r="B66" s="17" t="s">
        <v>33</v>
      </c>
      <c r="C66" s="17" t="s">
        <v>16</v>
      </c>
      <c r="D66" s="17" t="s">
        <v>17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28" t="s">
        <v>125</v>
      </c>
      <c r="B67" s="30" t="s">
        <v>23</v>
      </c>
      <c r="C67" s="17" t="s">
        <v>16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31" t="s">
        <v>126</v>
      </c>
      <c r="B68" s="17" t="s">
        <v>95</v>
      </c>
      <c r="C68" s="17" t="s">
        <v>16</v>
      </c>
      <c r="D68" s="17" t="s">
        <v>17</v>
      </c>
      <c r="E68" s="40" t="str">
        <f>HYPERLINK("http://www.northeastern.edu/generate/wp-login.php","Login can be found at: http://www.northeastern.edu/generate/wp-login.php")</f>
        <v>Login can be found at: http://www.northeastern.edu/generate/wp-login.php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8" t="s">
        <v>127</v>
      </c>
      <c r="B69" s="19" t="s">
        <v>15</v>
      </c>
      <c r="C69" s="19" t="s">
        <v>16</v>
      </c>
      <c r="D69" s="17" t="s">
        <v>17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28" t="s">
        <v>128</v>
      </c>
      <c r="B70" s="41" t="s">
        <v>23</v>
      </c>
      <c r="C70" s="42" t="s">
        <v>129</v>
      </c>
      <c r="D70" s="25"/>
      <c r="E70" s="43" t="s">
        <v>130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</row>
    <row r="102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</row>
    <row r="102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</row>
    <row r="1024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</row>
    <row r="10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</row>
    <row r="102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</row>
    <row r="1027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</row>
    <row r="1028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</row>
    <row r="1029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</row>
    <row r="1030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</row>
    <row r="103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</row>
    <row r="1032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</row>
    <row r="103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</row>
    <row r="1034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</row>
    <row r="103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</row>
    <row r="1036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</row>
    <row r="1037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</row>
    <row r="1038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</row>
    <row r="1039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</row>
    <row r="1040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</row>
    <row r="104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</row>
    <row r="1042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</row>
    <row r="104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</row>
    <row r="1044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</row>
    <row r="104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</row>
    <row r="1046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</row>
    <row r="1047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</row>
    <row r="1048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</row>
    <row r="1049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</row>
    <row r="1050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</row>
    <row r="105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</row>
    <row r="1052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</row>
    <row r="105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</row>
    <row r="1054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</row>
  </sheetData>
  <hyperlinks>
    <hyperlink r:id="rId1" ref="A10"/>
    <hyperlink r:id="rId2" ref="A38"/>
    <hyperlink r:id="rId3" ref="A44"/>
    <hyperlink r:id="rId4" ref="E70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4.75"/>
    <col customWidth="1" min="4" max="4" width="21.13"/>
  </cols>
  <sheetData>
    <row r="1">
      <c r="A1" s="15" t="s">
        <v>2</v>
      </c>
      <c r="B1" s="15" t="s">
        <v>5</v>
      </c>
      <c r="C1" s="16" t="s">
        <v>6</v>
      </c>
      <c r="D1" s="16" t="s">
        <v>13</v>
      </c>
      <c r="E1" s="16" t="s">
        <v>7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44" t="s">
        <v>131</v>
      </c>
      <c r="B2" s="19" t="s">
        <v>15</v>
      </c>
      <c r="C2" s="36" t="s">
        <v>89</v>
      </c>
      <c r="D2" s="19" t="s">
        <v>15</v>
      </c>
    </row>
    <row r="3">
      <c r="A3" s="34" t="s">
        <v>132</v>
      </c>
      <c r="B3" s="44" t="s">
        <v>86</v>
      </c>
      <c r="C3" s="45" t="s">
        <v>133</v>
      </c>
      <c r="D3" s="44" t="s">
        <v>86</v>
      </c>
    </row>
    <row r="4">
      <c r="A4" s="34" t="s">
        <v>134</v>
      </c>
      <c r="B4" s="44" t="s">
        <v>27</v>
      </c>
      <c r="C4" s="45" t="s">
        <v>135</v>
      </c>
      <c r="D4" s="44" t="s">
        <v>27</v>
      </c>
    </row>
    <row r="5">
      <c r="A5" s="44" t="s">
        <v>36</v>
      </c>
      <c r="B5" s="44" t="s">
        <v>86</v>
      </c>
      <c r="C5" s="44" t="s">
        <v>118</v>
      </c>
      <c r="E5" s="44" t="s">
        <v>136</v>
      </c>
    </row>
    <row r="6">
      <c r="A6" s="44" t="s">
        <v>137</v>
      </c>
      <c r="B6" s="44" t="s">
        <v>86</v>
      </c>
      <c r="C6" s="44" t="s">
        <v>138</v>
      </c>
    </row>
    <row r="7">
      <c r="A7" s="44" t="s">
        <v>139</v>
      </c>
      <c r="B7" s="44" t="s">
        <v>86</v>
      </c>
      <c r="C7" s="44" t="s">
        <v>140</v>
      </c>
    </row>
    <row r="8">
      <c r="A8" s="44" t="s">
        <v>141</v>
      </c>
      <c r="B8" s="44" t="s">
        <v>86</v>
      </c>
      <c r="C8" s="44" t="s">
        <v>118</v>
      </c>
    </row>
    <row r="9">
      <c r="A9" s="17" t="s">
        <v>142</v>
      </c>
      <c r="B9" s="17" t="s">
        <v>79</v>
      </c>
      <c r="C9" s="30" t="s">
        <v>80</v>
      </c>
      <c r="D9" s="17" t="s">
        <v>55</v>
      </c>
      <c r="E9" s="30" t="s">
        <v>81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</sheetData>
  <hyperlinks>
    <hyperlink r:id="rId1" ref="A3"/>
    <hyperlink r:id="rId2" ref="A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143</v>
      </c>
      <c r="B1" s="44" t="s">
        <v>144</v>
      </c>
      <c r="C1" s="44" t="s">
        <v>5</v>
      </c>
      <c r="D1" s="44" t="s">
        <v>145</v>
      </c>
    </row>
    <row r="2">
      <c r="B2" s="44" t="s">
        <v>146</v>
      </c>
      <c r="C2" s="44" t="s">
        <v>23</v>
      </c>
      <c r="D2" s="44" t="s">
        <v>16</v>
      </c>
    </row>
    <row r="3">
      <c r="B3" s="44" t="s">
        <v>147</v>
      </c>
      <c r="C3" s="44" t="s">
        <v>23</v>
      </c>
      <c r="D3" s="44" t="s">
        <v>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2.5"/>
    <col customWidth="1" min="3" max="3" width="16.13"/>
  </cols>
  <sheetData>
    <row r="1">
      <c r="A1" s="46" t="s">
        <v>148</v>
      </c>
      <c r="B1" s="46" t="s">
        <v>5</v>
      </c>
      <c r="C1" s="46" t="s">
        <v>6</v>
      </c>
      <c r="D1" s="46" t="s">
        <v>7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47" t="s">
        <v>149</v>
      </c>
      <c r="B2" s="48" t="s">
        <v>15</v>
      </c>
      <c r="C2" s="48" t="s">
        <v>16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17" t="s">
        <v>150</v>
      </c>
      <c r="B3" s="17" t="s">
        <v>151</v>
      </c>
      <c r="C3" s="17" t="s">
        <v>16</v>
      </c>
      <c r="D3" s="17" t="s">
        <v>152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48" t="s">
        <v>153</v>
      </c>
      <c r="B4" s="48" t="s">
        <v>151</v>
      </c>
      <c r="C4" s="48" t="s">
        <v>154</v>
      </c>
      <c r="D4" s="48" t="s">
        <v>155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7" t="s">
        <v>156</v>
      </c>
      <c r="B5" s="48" t="s">
        <v>15</v>
      </c>
      <c r="C5" s="48" t="s">
        <v>16</v>
      </c>
      <c r="D5" s="47" t="s">
        <v>157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9" t="s">
        <v>158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47" t="s">
        <v>14</v>
      </c>
      <c r="B9" s="47" t="s">
        <v>159</v>
      </c>
      <c r="C9" s="47" t="s">
        <v>160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47" t="s">
        <v>161</v>
      </c>
      <c r="B10" s="47" t="s">
        <v>23</v>
      </c>
      <c r="C10" s="48" t="s">
        <v>16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47" t="s">
        <v>162</v>
      </c>
      <c r="B11" s="47" t="s">
        <v>23</v>
      </c>
      <c r="C11" s="47" t="s">
        <v>65</v>
      </c>
      <c r="D11" s="47" t="s">
        <v>163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7" t="s">
        <v>164</v>
      </c>
      <c r="B12" s="47" t="s">
        <v>165</v>
      </c>
      <c r="C12" s="50" t="s">
        <v>166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7" t="s">
        <v>167</v>
      </c>
      <c r="B13" s="47" t="s">
        <v>23</v>
      </c>
      <c r="C13" s="48" t="s">
        <v>16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47" t="s">
        <v>168</v>
      </c>
      <c r="B14" s="47" t="s">
        <v>23</v>
      </c>
      <c r="C14" s="48" t="s">
        <v>16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47" t="s">
        <v>169</v>
      </c>
      <c r="B15" s="47" t="s">
        <v>23</v>
      </c>
      <c r="C15" s="48" t="s">
        <v>16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47" t="s">
        <v>170</v>
      </c>
      <c r="B16" s="47" t="s">
        <v>171</v>
      </c>
      <c r="C16" s="47" t="s">
        <v>172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47" t="s">
        <v>173</v>
      </c>
      <c r="B17" s="51" t="s">
        <v>174</v>
      </c>
      <c r="C17" s="48" t="s">
        <v>16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7" t="s">
        <v>175</v>
      </c>
      <c r="B18" s="47" t="s">
        <v>23</v>
      </c>
      <c r="C18" s="47" t="s">
        <v>176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7" t="s">
        <v>177</v>
      </c>
      <c r="B19" s="51" t="s">
        <v>174</v>
      </c>
      <c r="C19" s="47" t="s">
        <v>178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52" t="s">
        <v>179</v>
      </c>
      <c r="B20" s="47" t="s">
        <v>151</v>
      </c>
      <c r="C20" s="48" t="s">
        <v>16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7" t="s">
        <v>180</v>
      </c>
      <c r="B21" s="47" t="s">
        <v>23</v>
      </c>
      <c r="C21" s="47" t="s">
        <v>16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hyperlinks>
    <hyperlink r:id="rId1" ref="A6"/>
    <hyperlink r:id="rId2" ref="A20"/>
  </hyperlinks>
  <drawing r:id="rId3"/>
</worksheet>
</file>